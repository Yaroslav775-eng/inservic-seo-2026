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9d56797b6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f660444c2084e99"/>
    <x:sheet xmlns:r="http://schemas.openxmlformats.org/officeDocument/2006/relationships" name="Карта проекта" sheetId="2" r:id="Rdbbfef680ac545c1"/>
    <x:sheet xmlns:r="http://schemas.openxmlformats.org/officeDocument/2006/relationships" name="Как вести" sheetId="3" r:id="Rceda65e63440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4"/>
      <x:color rgb="F97316"/>
      <x:name val="Carlito"/>
    </x:font>
    <x:font>
      <x:b/>
      <x:sz val="11"/>
      <x:color rgb="FFFFFF"/>
      <x:name val="Carlito"/>
    </x:font>
    <x:font>
      <x:b/>
      <x:sz val="11"/>
      <x:color rgb="70411F"/>
      <x:name val="Carlito"/>
    </x:font>
    <x:font>
      <x:b/>
      <x:sz val="11"/>
      <x:color rgb="166534"/>
      <x:name val="Carlito"/>
    </x:font>
    <x:font>
      <x:b/>
      <x:sz val="15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82B49"/>
      </x:patternFill>
    </x:fill>
    <x:fill>
      <x:patternFill patternType="solid">
        <x:fgColor rgb="F3F6F9"/>
      </x:patternFill>
    </x:fill>
    <x:fill>
      <x:patternFill patternType="solid">
        <x:fgColor rgb="FF9D2F"/>
      </x:patternFill>
    </x:fill>
    <x:fill>
      <x:patternFill patternType="solid">
        <x:fgColor rgb="FFF8F1"/>
      </x:patternFill>
    </x:fill>
    <x:fill>
      <x:patternFill patternType="solid">
        <x:fgColor rgb="EEF8F1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f3bbf754b407b" /><Relationship Type="http://schemas.openxmlformats.org/officeDocument/2006/relationships/theme" Target="/xl/theme/theme1.xml" Id="Rd6508ff2b64b4391" /><Relationship Type="http://schemas.openxmlformats.org/officeDocument/2006/relationships/sharedStrings" Target="/xl/sharedStrings.xml" Id="R6d51de0560e0468d" /><Relationship Type="http://schemas.openxmlformats.org/officeDocument/2006/relationships/worksheet" Target="/xl/worksheets/sheet1.xml" Id="R2f660444c2084e99" /><Relationship Type="http://schemas.openxmlformats.org/officeDocument/2006/relationships/worksheet" Target="/xl/worksheets/sheet2.xml" Id="Rdbbfef680ac545c1" /><Relationship Type="http://schemas.openxmlformats.org/officeDocument/2006/relationships/worksheet" Target="/xl/worksheets/sheet3.xml" Id="Rceda65e634404dbc" /></Relationships>
</file>

<file path=xl/tables/table1.xml><?xml version="1.0" encoding="utf-8"?>
<x:table xmlns:x="http://schemas.openxmlformats.org/spreadsheetml/2006/main" id="1" name="ProjectMap" displayName="ProjectMap" ref="A1:Q19" headerRowCount="1">
  <x:tableColumns count="17">
    <x:tableColumn id="1" name="№"/>
    <x:tableColumn id="2" name="Раздел"/>
    <x:tableColumn id="3" name="Тип"/>
    <x:tableColumn id="4" name="Slug"/>
    <x:tableColumn id="5" name="H1 / Название"/>
    <x:tableColumn id="6" name="Файл страницы"/>
    <x:tableColumn id="7" name="URL на сайте"/>
    <x:tableColumn id="8" name="SEO-текст"/>
    <x:tableColumn id="9" name="Семантика"/>
    <x:tableColumn id="10" name="План текста"/>
    <x:tableColumn id="11" name="Handoff"/>
    <x:tableColumn id="12" name="Title"/>
    <x:tableColumn id="13" name="Description"/>
    <x:tableColumn id="14" name="Кластер / интент"/>
    <x:tableColumn id="15" name="Приоритет"/>
    <x:tableColumn id="16" name="Статус"/>
    <x:tableColumn id="17" name="Следующее действ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1e0f4d99640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20.860000610351562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</x:cols>
  <x:sheetData>
    <x:row r="1">
      <x:c r="A1" s="3" t="str">
        <x:v>InService SEO-проект: ремонт электротранспорта</x:v>
      </x:c>
    </x:row>
    <x:row r="3">
      <x:c r="A3" s="5" t="str">
        <x:v>Всего HTML-страниц</x:v>
      </x:c>
      <x:c r="B3" s="6" t="n">
        <x:v>18</x:v>
      </x:c>
    </x:row>
    <x:row r="4">
      <x:c r="A4" s="5" t="str">
        <x:v>Страниц с текстом/передачей</x:v>
      </x:c>
      <x:c r="B4" s="6" t="n">
        <x:v>12</x:v>
      </x:c>
    </x:row>
    <x:row r="5">
      <x:c r="A5" s="5" t="str">
        <x:v>Брендовых страниц</x:v>
      </x:c>
      <x:c r="B5" s="6" t="n">
        <x:v>5</x:v>
      </x:c>
    </x:row>
    <x:row r="6">
      <x:c r="A6" s="5" t="str">
        <x:v>Страниц поломок</x:v>
      </x:c>
      <x:c r="B6" s="6" t="n">
        <x:v>3</x:v>
      </x:c>
    </x:row>
    <x:row r="7">
      <x:c r="A7" s="5" t="str">
        <x:v>Страниц узлов</x:v>
      </x:c>
      <x:c r="B7" s="6" t="n">
        <x:v>3</x:v>
      </x:c>
    </x:row>
    <x:row r="8">
      <x:c r="A8" s="5" t="str">
        <x:v>Папка проекта</x:v>
      </x:c>
      <x:c r="B8" t="str">
        <x:v>C:\Users\User\OneDrive\Рабочий стол\inservic-prototype</x:v>
      </x:c>
    </x:row>
    <x:row r="10">
      <x:c r="A10" s="8" t="str">
        <x:v>Быстрые ссылки</x:v>
      </x:c>
    </x:row>
    <x:row r="11">
      <x:c r="A11" t="str">
        <x:v>Папка проекта</x:v>
      </x:c>
      <x:c r="B11" t="e">
        <x:f>HYPERLINK("file:///C:/Users/User/OneDrive/Рабочий стол/inservic-prototype","Открыть")</x:f>
      </x:c>
    </x:row>
    <x:row r="12">
      <x:c r="A12" t="str">
        <x:v>Site / transport</x:v>
      </x:c>
      <x:c r="B12" t="e">
        <x:f>HYPERLINK("file:///C:/Users/User/OneDrive/Рабочий стол/inservic-prototype/site/transport","Открыть")</x:f>
      </x:c>
    </x:row>
    <x:row r="13">
      <x:c r="A13" t="str">
        <x:v>Strategy docs</x:v>
      </x:c>
      <x:c r="B13" t="e">
        <x:f>HYPERLINK("file:///C:/Users/User/OneDrive/Рабочий стол/inservic-prototype/docs/strategy","Открыть")</x:f>
      </x:c>
    </x:row>
    <x:row r="14">
      <x:c r="A14" t="str">
        <x:v>Handoff docs</x:v>
      </x:c>
      <x:c r="B14" t="e">
        <x:f>HYPERLINK("file:///C:/Users/User/OneDrive/Рабочий стол/inservic-prototype/docs/handoff","Открыть")</x:f>
      </x:c>
    </x:row>
    <x:row r="15">
      <x:c r="A15" t="str">
        <x:v>Папка для отправки</x:v>
      </x:c>
      <x:c r="B15" t="e">
        <x:f>HYPERLINK("file:///C:/Users/User/OneDrive/Рабочий стол/inservic-review-package","Открыть")</x:f>
      </x:c>
    </x:row>
    <x:row r="17">
      <x:c r="A17" s="11" t="str">
        <x:v>Логика: сначала материнская страница, затем сильные поломки/узлы и только потом бренды. Бренды второго уровня стоит оставлять, если есть спрос и понятная польза для пользователя.</x:v>
      </x:c>
    </x:row>
  </x:sheetData>
  <x:mergeCells>
    <x:mergeCell ref="A1:H1"/>
    <x:mergeCell ref="A10:H10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14.130000114440918" hidden="0" customWidth="1"/>
    <x:col min="3" max="3" width="17.5" hidden="0" customWidth="1"/>
    <x:col min="4" max="4" width="32.970001220703125" hidden="0" customWidth="1"/>
    <x:col min="5" max="5" width="34.31999969482422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13.460000038146973" hidden="0" customWidth="1"/>
    <x:col min="10" max="10" width="13.460000038146973" hidden="0" customWidth="1"/>
    <x:col min="11" max="11" width="13.460000038146973" hidden="0" customWidth="1"/>
    <x:col min="12" max="12" width="37.0099983215332" hidden="0" customWidth="1"/>
    <x:col min="13" max="13" width="50.470001220703125" hidden="0" customWidth="1"/>
    <x:col min="14" max="14" width="34.31999969482422" hidden="0" customWidth="1"/>
    <x:col min="15" max="15" width="19.520000457763672" hidden="0" customWidth="1"/>
    <x:col min="16" max="16" width="19.520000457763672" hidden="0" customWidth="1"/>
    <x:col min="17" max="17" width="19.520000457763672" hidden="0" customWidth="1"/>
  </x:cols>
  <x:sheetData>
    <x:row r="1">
      <x:c r="A1" s="13" t="str">
        <x:v>№</x:v>
      </x:c>
      <x:c r="B1" s="13" t="str">
        <x:v>Раздел</x:v>
      </x:c>
      <x:c r="C1" s="13" t="str">
        <x:v>Тип</x:v>
      </x:c>
      <x:c r="D1" s="13" t="str">
        <x:v>Slug</x:v>
      </x:c>
      <x:c r="E1" s="13" t="str">
        <x:v>H1 / Название</x:v>
      </x:c>
      <x:c r="F1" s="13" t="str">
        <x:v>Файл страницы</x:v>
      </x:c>
      <x:c r="G1" s="13" t="str">
        <x:v>URL на сайте</x:v>
      </x:c>
      <x:c r="H1" s="13" t="str">
        <x:v>SEO-текст</x:v>
      </x:c>
      <x:c r="I1" s="13" t="str">
        <x:v>Семантика</x:v>
      </x:c>
      <x:c r="J1" s="13" t="str">
        <x:v>План текста</x:v>
      </x:c>
      <x:c r="K1" s="13" t="str">
        <x:v>Handoff</x:v>
      </x:c>
      <x:c r="L1" s="13" t="str">
        <x:v>Title</x:v>
      </x:c>
      <x:c r="M1" s="13" t="str">
        <x:v>Description</x:v>
      </x:c>
      <x:c r="N1" s="13" t="str">
        <x:v>Кластер / интент</x:v>
      </x:c>
      <x:c r="O1" s="13" t="str">
        <x:v>Приоритет</x:v>
      </x:c>
      <x:c r="P1" s="13" t="str">
        <x:v>Статус</x:v>
      </x:c>
      <x:c r="Q1" s="13" t="str">
        <x:v>Следующее действие</x:v>
      </x:c>
    </x:row>
    <x:row r="2">
      <x:c r="A2" s="14" t="n">
        <x:v>1</x:v>
      </x:c>
      <x:c r="B2" s="14" t="str">
        <x:v>Разделы</x:v>
      </x:c>
      <x:c r="C2" s="14" t="str">
        <x:v>Раздел устройства</x:v>
      </x:c>
      <x:c r="D2" s="14" t="str">
        <x:v>electric-bicycles</x:v>
      </x:c>
      <x:c r="E2" s="14" t="str">
        <x:v>Ремонт электровелосипедов в Харькове</x:v>
      </x:c>
      <x:c r="F2" s="14" t="e">
        <x:f>HYPERLINK("file:///C:/Users/User/OneDrive/Рабочий стол/inservic-prototype/site/transport/electric-bicycles.html","HTML")</x:f>
      </x:c>
      <x:c r="G2" s="14" t="str">
        <x:v>https://inservic.com.ua/electric-bicycles/</x:v>
      </x:c>
      <x:c r="H2" s="14" t="str"/>
      <x:c r="I2" s="14" t="str"/>
      <x:c r="J2" s="14" t="str"/>
      <x:c r="K2" s="14" t="str"/>
      <x:c r="L2" s="14" t="str">
        <x:v>Ремонт электровелосипедов в Харькове — InService</x:v>
      </x:c>
      <x:c r="M2" s="14" t="str">
        <x:v>Прототип отдельной страницы InService по ремонту электровелосипедов в Харькове.</x:v>
      </x:c>
      <x:c r="N2" s="14" t="str">
        <x:v>Ремонт электровелосипедов в Харькове</x:v>
      </x:c>
      <x:c r="O2" s="11" t="str">
        <x:v>P2</x:v>
      </x:c>
      <x:c r="P2" s="17" t="str">
        <x:v>Нужна доработка</x:v>
      </x:c>
      <x:c r="Q2" s="14" t="str">
        <x:v>Проверить актуальность и решить, нужна ли доработка</x:v>
      </x:c>
    </x:row>
    <x:row r="3">
      <x:c r="A3" s="14" t="n">
        <x:v>2</x:v>
      </x:c>
      <x:c r="B3" s="14" t="str">
        <x:v>Разделы</x:v>
      </x:c>
      <x:c r="C3" s="14" t="str">
        <x:v>Раздел устройства</x:v>
      </x:c>
      <x:c r="D3" s="14" t="str">
        <x:v>electric-scooters</x:v>
      </x:c>
      <x:c r="E3" s="14" t="str">
        <x:v>Ремонт электроскутеров в Харькове</x:v>
      </x:c>
      <x:c r="F3" s="14" t="e">
        <x:f>HYPERLINK("file:///C:/Users/User/OneDrive/Рабочий стол/inservic-prototype/site/transport/electric-scooters.html","HTML")</x:f>
      </x:c>
      <x:c r="G3" s="14" t="str">
        <x:v>https://inservic.com.ua/electric-scooters/</x:v>
      </x:c>
      <x:c r="H3" s="14" t="str"/>
      <x:c r="I3" s="14" t="str"/>
      <x:c r="J3" s="14" t="str"/>
      <x:c r="K3" s="14" t="str"/>
      <x:c r="L3" s="14" t="str">
        <x:v>Ремонт электроскутеров в Харькове — InService</x:v>
      </x:c>
      <x:c r="M3" s="14" t="str">
        <x:v>Прототип отдельной страницы InService по ремонту электроскутеров в Харькове.</x:v>
      </x:c>
      <x:c r="N3" s="14" t="str">
        <x:v>Ремонт электроскутеров в Харькове</x:v>
      </x:c>
      <x:c r="O3" s="11" t="str">
        <x:v>P2</x:v>
      </x:c>
      <x:c r="P3" s="17" t="str">
        <x:v>Нужна доработка</x:v>
      </x:c>
      <x:c r="Q3" s="14" t="str">
        <x:v>Проверить актуальность и решить, нужна ли доработка</x:v>
      </x:c>
    </x:row>
    <x:row r="4">
      <x:c r="A4" s="14" t="n">
        <x:v>3</x:v>
      </x:c>
      <x:c r="B4" s="14" t="str">
        <x:v>Хабы</x:v>
      </x:c>
      <x:c r="C4" s="14" t="str">
        <x:v>Хаб</x:v>
      </x:c>
      <x:c r="D4" s="14" t="str">
        <x:v>electric-transport</x:v>
      </x:c>
      <x:c r="E4" s="14" t="str">
        <x:v>Ремонт электротранспорта в Харькове</x:v>
      </x:c>
      <x:c r="F4" s="14" t="e">
        <x:f>HYPERLINK("file:///C:/Users/User/OneDrive/Рабочий стол/inservic-prototype/site/transport/electric-transport.html","HTML")</x:f>
      </x:c>
      <x:c r="G4" s="14" t="str">
        <x:v>https://inservic.com.ua/electric-transport/</x:v>
      </x:c>
      <x:c r="H4" s="14" t="str"/>
      <x:c r="I4" s="14" t="e">
        <x:f>HYPERLINK("file:///C:/Users/User/OneDrive/Рабочий стол/inservic-prototype/docs/strategy/semantic-core-electric-transport.html","Семантика")</x:f>
      </x:c>
      <x:c r="J4" s="14" t="str"/>
      <x:c r="K4" s="14" t="str"/>
      <x:c r="L4" s="14" t="str">
        <x:v>Ремонт электротранспорта в Харькове — InService</x:v>
      </x:c>
      <x:c r="M4" s="14" t="str">
        <x:v>Прототип родительской страницы InService по ремонту электротранспорта в Харькове: типы устройств, этапы развития структуры и главная ветка по электросамокатам.</x:v>
      </x:c>
      <x:c r="N4" s="14" t="str">
        <x:v>Хаб: ремонт электротранспорта</x:v>
      </x:c>
      <x:c r="O4" s="11" t="str">
        <x:v>P2</x:v>
      </x:c>
      <x:c r="P4" s="17" t="str">
        <x:v>Нужна доработка</x:v>
      </x:c>
      <x:c r="Q4" s="14" t="str">
        <x:v>Проверить актуальность и решить, нужна ли доработка</x:v>
      </x:c>
    </x:row>
    <x:row r="5">
      <x:c r="A5" s="14" t="n">
        <x:v>4</x:v>
      </x:c>
      <x:c r="B5" s="14" t="str">
        <x:v>Поломки</x:v>
      </x:c>
      <x:c r="C5" s="14" t="str">
        <x:v>Поломка / симптом</x:v>
      </x:c>
      <x:c r="D5" s="14" t="str">
        <x:v>elektrosamokat-ne-vmykayetsya-kharkiv</x:v>
      </x:c>
      <x:c r="E5" s="14" t="str">
        <x:v>Електросамокат не вмикається у Харкові</x:v>
      </x:c>
      <x:c r="F5" s="14" t="e">
        <x:f>HYPERLINK("file:///C:/Users/User/OneDrive/Рабочий стол/inservic-prototype/site/transport/elektrosamokat-ne-vmykayetsya-kharkiv.html","HTML")</x:f>
      </x:c>
      <x:c r="G5" s="14" t="str">
        <x:v>https://inservic.com.ua/elektrosamokat-ne-vmykayetsya-kharkiv/</x:v>
      </x:c>
      <x:c r="H5" s="14" t="e">
        <x:f>HYPERLINK("file:///C:/Users/User/OneDrive/Рабочий стол/inservic-prototype/docs/handoff/ua-seo-text-elektrosamokat-ne-vmykayetsya-kharkiv.html","Текст")</x:f>
      </x:c>
      <x:c r="I5" s="14" t="e">
        <x:f>HYPERLINK("file:///C:/Users/User/OneDrive/Рабочий стол/inservic-prototype/docs/strategy/semantic-core-elektrosamokat-ne-vmykayetsya-kharkiv.html","Семантика")</x:f>
      </x:c>
      <x:c r="J5" s="14" t="e">
        <x:f>HYPERLINK("file:///C:/Users/User/OneDrive/Рабочий стол/inservic-prototype/docs/strategy/seo-text-plan-elektrosamokat-ne-vmykayetsya-kharkiv.html","План")</x:f>
      </x:c>
      <x:c r="K5" s="14" t="e">
        <x:f>HYPERLINK("file:///C:/Users/User/OneDrive/Рабочий стол/inservic-prototype/docs/handoff/elektrosamokat-ne-vmykayetsya-kharkiv-handoff.html","Handoff")</x:f>
      </x:c>
      <x:c r="L5" s="14" t="str">
        <x:v>Електросамокат не вмикається у Харкові — діагностика від 100 грн | InService</x:v>
      </x:c>
      <x:c r="M5" s="14" t="str">
        <x:v>Електросамокат не вмикається у Харкові: перевірка акумулятора, BMS, кнопки живлення, дисплея, контролера, проводки та наслідків води. InService, вул. Дерев</x:v>
      </x:c>
      <x:c r="N5" s="14" t="str">
        <x:v>Симптом: электросамокат не включается</x:v>
      </x:c>
      <x:c r="O5" s="11" t="str">
        <x:v>P1</x:v>
      </x:c>
      <x:c r="P5" s="17" t="str">
        <x:v>Готово/черновик</x:v>
      </x:c>
      <x:c r="Q5" s="14" t="str">
        <x:v>Проверить цены/гарантию и связать внутренними ссылками</x:v>
      </x:c>
    </x:row>
    <x:row r="6">
      <x:c r="A6" s="14" t="n">
        <x:v>5</x:v>
      </x:c>
      <x:c r="B6" s="14" t="str">
        <x:v>Поломки</x:v>
      </x:c>
      <x:c r="C6" s="14" t="str">
        <x:v>Поломка / симптом</x:v>
      </x:c>
      <x:c r="D6" s="14" t="str">
        <x:v>elektrosamokat-ne-zaryadzhayetsya-kharkiv</x:v>
      </x:c>
      <x:c r="E6" s="14" t="str">
        <x:v>Електросамокат не заряджається у Харкові</x:v>
      </x:c>
      <x:c r="F6" s="14" t="e">
        <x:f>HYPERLINK("file:///C:/Users/User/OneDrive/Рабочий стол/inservic-prototype/site/transport/elektrosamokat-ne-zaryadzhayetsya-kharkiv.html","HTML")</x:f>
      </x:c>
      <x:c r="G6" s="14" t="str">
        <x:v>https://inservic.com.ua/elektrosamokat-ne-zaryadzhayetsya-kharkiv/</x:v>
      </x:c>
      <x:c r="H6" s="14" t="e">
        <x:f>HYPERLINK("file:///C:/Users/User/OneDrive/Рабочий стол/inservic-prototype/docs/handoff/ua-seo-text-elektrosamokat-ne-zaryadzhayetsya-kharkiv.html","Текст")</x:f>
      </x:c>
      <x:c r="I6" s="14" t="e">
        <x:f>HYPERLINK("file:///C:/Users/User/OneDrive/Рабочий стол/inservic-prototype/docs/strategy/semantic-core-elektrosamokat-ne-zaryadzhayetsya-kharkiv.html","Семантика")</x:f>
      </x:c>
      <x:c r="J6" s="14" t="e">
        <x:f>HYPERLINK("file:///C:/Users/User/OneDrive/Рабочий стол/inservic-prototype/docs/strategy/seo-text-plan-elektrosamokat-ne-zaryadzhayetsya-kharkiv.html","План")</x:f>
      </x:c>
      <x:c r="K6" s="14" t="e">
        <x:f>HYPERLINK("file:///C:/Users/User/OneDrive/Рабочий стол/inservic-prototype/docs/handoff/elektrosamokat-ne-zaryadzhayetsya-kharkiv-handoff.html","Handoff")</x:f>
      </x:c>
      <x:c r="L6" s="14" t="str">
        <x:v>Електросамокат не заряджається у Харкові — діагностика від 100 грн | InService</x:v>
      </x:c>
      <x:c r="M6" s="14" t="str">
        <x:v>Електросамокат не заряджається у Харкові: перевірка зарядного порту, BMS, акумулятора, контролера, проводки та зарядного пристрою. InService, вул. Дерев</x:v>
      </x:c>
      <x:c r="N6" s="14" t="str">
        <x:v>Симптом: электросамокат не заряжается</x:v>
      </x:c>
      <x:c r="O6" s="11" t="str">
        <x:v>P1</x:v>
      </x:c>
      <x:c r="P6" s="17" t="str">
        <x:v>Готово/черновик</x:v>
      </x:c>
      <x:c r="Q6" s="14" t="str">
        <x:v>Проверить цены/гарантию и связать внутренними ссылками</x:v>
      </x:c>
    </x:row>
    <x:row r="7">
      <x:c r="A7" s="14" t="n">
        <x:v>6</x:v>
      </x:c>
      <x:c r="B7" s="14" t="str">
        <x:v>Поломки</x:v>
      </x:c>
      <x:c r="C7" s="14" t="str">
        <x:v>Поломка / симптом</x:v>
      </x:c>
      <x:c r="D7" s="14" t="str">
        <x:v>elektrosamokat-pislya-vody-kharkiv</x:v>
      </x:c>
      <x:c r="E7" s="14" t="str">
        <x:v>Ремонт електросамоката після води у Харкові</x:v>
      </x:c>
      <x:c r="F7" s="14" t="e">
        <x:f>HYPERLINK("file:///C:/Users/User/OneDrive/Рабочий стол/inservic-prototype/site/transport/elektrosamokat-pislya-vody-kharkiv.html","HTML")</x:f>
      </x:c>
      <x:c r="G7" s="14" t="str">
        <x:v>https://inservic.com.ua/elektrosamokat-pislya-vody-kharkiv/</x:v>
      </x:c>
      <x:c r="H7" s="14" t="e">
        <x:f>HYPERLINK("file:///C:/Users/User/OneDrive/Рабочий стол/inservic-prototype/docs/handoff/ua-seo-text-elektrosamokat-pislya-vody-kharkiv.html","Текст")</x:f>
      </x:c>
      <x:c r="I7" s="14" t="e">
        <x:f>HYPERLINK("file:///C:/Users/User/OneDrive/Рабочий стол/inservic-prototype/docs/strategy/semantic-core-elektrosamokat-pislya-vody-kharkiv.html","Семантика")</x:f>
      </x:c>
      <x:c r="J7" s="14" t="e">
        <x:f>HYPERLINK("file:///C:/Users/User/OneDrive/Рабочий стол/inservic-prototype/docs/strategy/seo-text-plan-elektrosamokat-pislya-vody-kharkiv.html","План")</x:f>
      </x:c>
      <x:c r="K7" s="14" t="e">
        <x:f>HYPERLINK("file:///C:/Users/User/OneDrive/Рабочий стол/inservic-prototype/docs/handoff/elektrosamokat-pislya-vody-kharkiv-handoff.html","Handoff")</x:f>
      </x:c>
      <x:c r="L7" s="14" t="str">
        <x:v>Ремонт електросамоката після води у Харкові — InService</x:v>
      </x:c>
      <x:c r="M7" s="14" t="str">
        <x:v>Електросамокат після води у Харкові: діагностика контролера, акумулятора, BMS, зарядного порту, дисплея, мотор-колеса, проводки та корозії. InService, вул. Дерев</x:v>
      </x:c>
      <x:c r="N7" s="14" t="str">
        <x:v>Симптом: после воды/дождя</x:v>
      </x:c>
      <x:c r="O7" s="11" t="str">
        <x:v>P2</x:v>
      </x:c>
      <x:c r="P7" s="17" t="str">
        <x:v>Готово/черновик</x:v>
      </x:c>
      <x:c r="Q7" s="14" t="str">
        <x:v>Проверить цены/гарантию и связать внутренними ссылками</x:v>
      </x:c>
    </x:row>
    <x:row r="8">
      <x:c r="A8" s="14" t="n">
        <x:v>7</x:v>
      </x:c>
      <x:c r="B8" s="14" t="str">
        <x:v>Разделы</x:v>
      </x:c>
      <x:c r="C8" s="14" t="str">
        <x:v>Раздел устройства</x:v>
      </x:c>
      <x:c r="D8" s="14" t="str">
        <x:v>gyro-scooters</x:v>
      </x:c>
      <x:c r="E8" s="14" t="str">
        <x:v>Ремонт гироскутеров в Харькове</x:v>
      </x:c>
      <x:c r="F8" s="14" t="e">
        <x:f>HYPERLINK("file:///C:/Users/User/OneDrive/Рабочий стол/inservic-prototype/site/transport/gyro-scooters.html","HTML")</x:f>
      </x:c>
      <x:c r="G8" s="14" t="str">
        <x:v>https://inservic.com.ua/gyro-scooters/</x:v>
      </x:c>
      <x:c r="H8" s="14" t="str"/>
      <x:c r="I8" s="14" t="str"/>
      <x:c r="J8" s="14" t="str"/>
      <x:c r="K8" s="14" t="str"/>
      <x:c r="L8" s="14" t="str">
        <x:v>Ремонт гироскутеров в Харькове — InService</x:v>
      </x:c>
      <x:c r="M8" s="14" t="str">
        <x:v>Прототип страницы InService по ремонту гироскутеров в Харькове.</x:v>
      </x:c>
      <x:c r="N8" s="14" t="str">
        <x:v>Ремонт гироскутеров в Харькове</x:v>
      </x:c>
      <x:c r="O8" s="11" t="str">
        <x:v>P2</x:v>
      </x:c>
      <x:c r="P8" s="17" t="str">
        <x:v>Нужна доработка</x:v>
      </x:c>
      <x:c r="Q8" s="14" t="str">
        <x:v>Проверить актуальность и решить, нужна ли доработка</x:v>
      </x:c>
    </x:row>
    <x:row r="9">
      <x:c r="A9" s="14" t="n">
        <x:v>8</x:v>
      </x:c>
      <x:c r="B9" s="14" t="str">
        <x:v>Разделы</x:v>
      </x:c>
      <x:c r="C9" s="14" t="str">
        <x:v>Раздел устройства</x:v>
      </x:c>
      <x:c r="D9" s="14" t="str">
        <x:v>hoverboards</x:v>
      </x:c>
      <x:c r="E9" s="14" t="str">
        <x:v>Ремонт гиробордов в Харькове</x:v>
      </x:c>
      <x:c r="F9" s="14" t="e">
        <x:f>HYPERLINK("file:///C:/Users/User/OneDrive/Рабочий стол/inservic-prototype/site/transport/hoverboards.html","HTML")</x:f>
      </x:c>
      <x:c r="G9" s="14" t="str">
        <x:v>https://inservic.com.ua/hoverboards/</x:v>
      </x:c>
      <x:c r="H9" s="14" t="str"/>
      <x:c r="I9" s="14" t="str"/>
      <x:c r="J9" s="14" t="str"/>
      <x:c r="K9" s="14" t="str"/>
      <x:c r="L9" s="14" t="str">
        <x:v>Ремонт гиробордов в Харькове — InService</x:v>
      </x:c>
      <x:c r="M9" s="14" t="str">
        <x:v>Прототип страницы InService по ремонту гиробордов в Харькове.</x:v>
      </x:c>
      <x:c r="N9" s="14" t="str">
        <x:v>Ремонт гиробордов в Харькове</x:v>
      </x:c>
      <x:c r="O9" s="11" t="str">
        <x:v>P2</x:v>
      </x:c>
      <x:c r="P9" s="17" t="str">
        <x:v>Нужна доработка</x:v>
      </x:c>
      <x:c r="Q9" s="14" t="str">
        <x:v>Проверить актуальность и решить, нужна ли доработка</x:v>
      </x:c>
    </x:row>
    <x:row r="10">
      <x:c r="A10" s="14" t="n">
        <x:v>9</x:v>
      </x:c>
      <x:c r="B10" s="14" t="str">
        <x:v>Разделы</x:v>
      </x:c>
      <x:c r="C10" s="14" t="str">
        <x:v>Раздел устройства</x:v>
      </x:c>
      <x:c r="D10" s="14" t="str">
        <x:v>monowheels</x:v>
      </x:c>
      <x:c r="E10" s="14" t="str">
        <x:v>Ремонт моноколес в Харькове</x:v>
      </x:c>
      <x:c r="F10" s="14" t="e">
        <x:f>HYPERLINK("file:///C:/Users/User/OneDrive/Рабочий стол/inservic-prototype/site/transport/monowheels.html","HTML")</x:f>
      </x:c>
      <x:c r="G10" s="14" t="str">
        <x:v>https://inservic.com.ua/monowheels/</x:v>
      </x:c>
      <x:c r="H10" s="14" t="str"/>
      <x:c r="I10" s="14" t="str"/>
      <x:c r="J10" s="14" t="str"/>
      <x:c r="K10" s="14" t="str"/>
      <x:c r="L10" s="14" t="str">
        <x:v>Ремонт моноколес в Харькове — InService</x:v>
      </x:c>
      <x:c r="M10" s="14" t="str">
        <x:v>Прототип страницы InService по ремонту моноколес в Харькове.</x:v>
      </x:c>
      <x:c r="N10" s="14" t="str">
        <x:v>Ремонт моноколес в Харькове</x:v>
      </x:c>
      <x:c r="O10" s="11" t="str">
        <x:v>P2</x:v>
      </x:c>
      <x:c r="P10" s="17" t="str">
        <x:v>Нужна доработка</x:v>
      </x:c>
      <x:c r="Q10" s="14" t="str">
        <x:v>Проверить актуальность и решить, нужна ли доработка</x:v>
      </x:c>
    </x:row>
    <x:row r="11">
      <x:c r="A11" s="14" t="n">
        <x:v>10</x:v>
      </x:c>
      <x:c r="B11" s="14" t="str">
        <x:v>Узлы</x:v>
      </x:c>
      <x:c r="C11" s="14" t="str">
        <x:v>Узел / компонент</x:v>
      </x:c>
      <x:c r="D11" s="14" t="str">
        <x:v>remont-akumulyatora-elektrosamokata-kharkiv</x:v>
      </x:c>
      <x:c r="E11" s="14" t="str">
        <x:v>Ремонт акумулятора електросамоката у Харкові</x:v>
      </x:c>
      <x:c r="F11" s="14" t="e">
        <x:f>HYPERLINK("file:///C:/Users/User/OneDrive/Рабочий стол/inservic-prototype/site/transport/remont-akumulyatora-elektrosamokata-kharkiv.html","HTML")</x:f>
      </x:c>
      <x:c r="G11" s="14" t="str">
        <x:v>https://inservic.com.ua/remont-akumulyatora-elektrosamokata-kharkiv/</x:v>
      </x:c>
      <x:c r="H11" s="14" t="e">
        <x:f>HYPERLINK("file:///C:/Users/User/OneDrive/Рабочий стол/inservic-prototype/docs/handoff/ua-seo-text-remont-akumulyatora-elektrosamokata-kharkiv.html","Текст")</x:f>
      </x:c>
      <x:c r="I11" s="14" t="e">
        <x:f>HYPERLINK("file:///C:/Users/User/OneDrive/Рабочий стол/inservic-prototype/docs/strategy/semantic-core-remont-akumulyatora-elektrosamokata-kharkiv.html","Семантика")</x:f>
      </x:c>
      <x:c r="J11" s="14" t="e">
        <x:f>HYPERLINK("file:///C:/Users/User/OneDrive/Рабочий стол/inservic-prototype/docs/strategy/seo-text-plan-remont-akumulyatora-elektrosamokata-kharkiv.html","План")</x:f>
      </x:c>
      <x:c r="K11" s="14" t="e">
        <x:f>HYPERLINK("file:///C:/Users/User/OneDrive/Рабочий стол/inservic-prototype/docs/handoff/remont-akumulyatora-elektrosamokata-kharkiv-handoff.html","Handoff")</x:f>
      </x:c>
      <x:c r="L11" s="14" t="str">
        <x:v>Ремонт акумулятора електросамоката у Харкові — InService</x:v>
      </x:c>
      <x:c r="M11" s="14" t="str">
        <x:v>Ремонт акумулятора електросамоката у Харкові: діагностика батареї, BMS, балансу елементів, глибокого розряду та швидкого розряду. InService, вул. Дерев</x:v>
      </x:c>
      <x:c r="N11" s="14" t="str">
        <x:v>Компонент: аккумулятор/BMS</x:v>
      </x:c>
      <x:c r="O11" s="11" t="str">
        <x:v>P1</x:v>
      </x:c>
      <x:c r="P11" s="17" t="str">
        <x:v>Готово/черновик</x:v>
      </x:c>
      <x:c r="Q11" s="14" t="str">
        <x:v>Проверить цены/гарантию и связать внутренними ссылками</x:v>
      </x:c>
    </x:row>
    <x:row r="12">
      <x:c r="A12" s="14" t="n">
        <x:v>11</x:v>
      </x:c>
      <x:c r="B12" s="14" t="str">
        <x:v>Бренды</x:v>
      </x:c>
      <x:c r="C12" s="14" t="str">
        <x:v>Бренд</x:v>
      </x:c>
      <x:c r="D12" s="14" t="str">
        <x:v>remont-elektrosamokativ-crosser-kharkiv</x:v>
      </x:c>
      <x:c r="E12" s="14" t="str">
        <x:v>Ремонт електросамокатів Crosser у Харкові</x:v>
      </x:c>
      <x:c r="F12" s="14" t="e">
        <x:f>HYPERLINK("file:///C:/Users/User/OneDrive/Рабочий стол/inservic-prototype/site/transport/remont-elektrosamokativ-crosser-kharkiv.html","HTML")</x:f>
      </x:c>
      <x:c r="G12" s="14" t="str">
        <x:v>https://inservic.com.ua/remont-elektrosamokativ-crosser-kharkiv/</x:v>
      </x:c>
      <x:c r="H12" s="14" t="e">
        <x:f>HYPERLINK("file:///C:/Users/User/OneDrive/Рабочий стол/inservic-prototype/docs/handoff/ua-seo-text-remont-elektrosamokativ-crosser-kharkiv.html","Текст")</x:f>
      </x:c>
      <x:c r="I12" s="14" t="e">
        <x:f>HYPERLINK("file:///C:/Users/User/OneDrive/Рабочий стол/inservic-prototype/docs/strategy/semantic-core-remont-elektrosamokativ-crosser-kharkiv.html","Семантика")</x:f>
      </x:c>
      <x:c r="J12" s="14" t="e">
        <x:f>HYPERLINK("file:///C:/Users/User/OneDrive/Рабочий стол/inservic-prototype/docs/strategy/seo-text-plan-remont-elektrosamokativ-crosser-kharkiv.html","План")</x:f>
      </x:c>
      <x:c r="K12" s="14" t="e">
        <x:f>HYPERLINK("file:///C:/Users/User/OneDrive/Рабочий стол/inservic-prototype/docs/handoff/remont-elektrosamokativ-crosser-kharkiv-handoff.html","Handoff")</x:f>
      </x:c>
      <x:c r="L12" s="14" t="str">
        <x:v>Ремонт електросамокатів Crosser у Харкові — InService</x:v>
      </x:c>
      <x:c r="M12" s="14" t="str">
        <x:v>Ремонт електросамокатів Crosser у Харкові: T4, E9 та міські моделі. Діагностика батареї, контролера, мотор-колеса, зарядки, гальм, коліс і наслідків води.</x:v>
      </x:c>
      <x:c r="N12" s="14" t="str">
        <x:v>Бренд: Crosser, T4/E9</x:v>
      </x:c>
      <x:c r="O12" s="11" t="str">
        <x:v>P2</x:v>
      </x:c>
      <x:c r="P12" s="17" t="str">
        <x:v>Готово/черновик</x:v>
      </x:c>
      <x:c r="Q12" s="14" t="str">
        <x:v>Уточнить модели Crosser и наличие фото/деталей</x:v>
      </x:c>
    </x:row>
    <x:row r="13">
      <x:c r="A13" s="14" t="n">
        <x:v>12</x:v>
      </x:c>
      <x:c r="B13" s="14" t="str">
        <x:v>Разделы</x:v>
      </x:c>
      <x:c r="C13" s="14" t="str">
        <x:v>Основная SEO-страница</x:v>
      </x:c>
      <x:c r="D13" s="14" t="str">
        <x:v>remont-elektrosamokativ-kharkiv</x:v>
      </x:c>
      <x:c r="E13" s="14" t="str">
        <x:v>Ремонт електросамокатів у Харкові</x:v>
      </x:c>
      <x:c r="F13" s="14" t="e">
        <x:f>HYPERLINK("file:///C:/Users/User/OneDrive/Рабочий стол/inservic-prototype/site/transport/remont-elektrosamokativ-kharkiv.html","HTML")</x:f>
      </x:c>
      <x:c r="G13" s="14" t="str">
        <x:v>https://inservic.com.ua/remont-elektrosamokativ-kharkiv/</x:v>
      </x:c>
      <x:c r="H13" s="14" t="str"/>
      <x:c r="I13" s="14" t="str"/>
      <x:c r="J13" s="14" t="str"/>
      <x:c r="K13" s="14" t="e">
        <x:f>HYPERLINK("file:///C:/Users/User/OneDrive/Рабочий стол/inservic-prototype/docs/handoff/remont-elektrosamokativ-kharkiv-handoff.html","Handoff")</x:f>
      </x:c>
      <x:c r="L13" s="14" t="str">
        <x:v>Ремонт електросамокатів у Харкові від 100 грн — InService</x:v>
      </x:c>
      <x:c r="M13" s="14" t="str">
        <x:v>Ремонт електросамокатів у Харкові: діагностика від 100 грн, ремонт батареї, контролера, мотор-колеса, зарядки та гальм. Xiaomi, Ninebot, Kugoo. Адреса: Дерев</x:v>
      </x:c>
      <x:c r="N13" s="14" t="str">
        <x:v>Основной кластер: ремонт электросамокатов Харьков</x:v>
      </x:c>
      <x:c r="O13" s="11" t="str">
        <x:v>P0</x:v>
      </x:c>
      <x:c r="P13" s="17" t="str">
        <x:v>Готово/черновик</x:v>
      </x:c>
      <x:c r="Q13" s="14" t="str">
        <x:v>Финально вычитать и согласовать как материнскую страницу</x:v>
      </x:c>
    </x:row>
    <x:row r="14">
      <x:c r="A14" s="14" t="n">
        <x:v>13</x:v>
      </x:c>
      <x:c r="B14" s="14" t="str">
        <x:v>Бренды</x:v>
      </x:c>
      <x:c r="C14" s="14" t="str">
        <x:v>Бренд</x:v>
      </x:c>
      <x:c r="D14" s="14" t="str">
        <x:v>remont-elektrosamokativ-kugoo-kharkiv</x:v>
      </x:c>
      <x:c r="E14" s="14" t="str">
        <x:v>Ремонт електросамокатів Kugoo у Харкові</x:v>
      </x:c>
      <x:c r="F14" s="14" t="e">
        <x:f>HYPERLINK("file:///C:/Users/User/OneDrive/Рабочий стол/inservic-prototype/site/transport/remont-elektrosamokativ-kugoo-kharkiv.html","HTML")</x:f>
      </x:c>
      <x:c r="G14" s="14" t="str">
        <x:v>https://inservic.com.ua/remont-elektrosamokativ-kugoo-kharkiv/</x:v>
      </x:c>
      <x:c r="H14" s="14" t="e">
        <x:f>HYPERLINK("file:///C:/Users/User/OneDrive/Рабочий стол/inservic-prototype/docs/handoff/ua-seo-text-remont-elektrosamokativ-kugoo-kharkiv.html","Текст")</x:f>
      </x:c>
      <x:c r="I14" s="14" t="e">
        <x:f>HYPERLINK("file:///C:/Users/User/OneDrive/Рабочий стол/inservic-prototype/docs/strategy/semantic-core-remont-elektrosamokativ-kugoo-kharkiv.html","Семантика")</x:f>
      </x:c>
      <x:c r="J14" s="14" t="e">
        <x:f>HYPERLINK("file:///C:/Users/User/OneDrive/Рабочий стол/inservic-prototype/docs/strategy/seo-text-plan-remont-elektrosamokativ-kugoo-kharkiv.html","План")</x:f>
      </x:c>
      <x:c r="K14" s="14" t="e">
        <x:f>HYPERLINK("file:///C:/Users/User/OneDrive/Рабочий стол/inservic-prototype/docs/handoff/remont-elektrosamokativ-kugoo-kharkiv-handoff.html","Handoff")</x:f>
      </x:c>
      <x:c r="L14" s="14" t="str">
        <x:v>Ремонт електросамокатів Kugoo у Харкові — InService</x:v>
      </x:c>
      <x:c r="M14" s="14" t="str">
        <x:v>Ремонт електросамокатів Kugoo у Харкові: S1, S3, M4, M4 Pro, G-Booster, Max Speed. Діагностика контролера, батареї, мотор-колеса, гальм, складного механізму.</x:v>
      </x:c>
      <x:c r="N14" s="14" t="str">
        <x:v>Бренд: Kugoo/KuKirin, S1/S3/M4/M4 Pro</x:v>
      </x:c>
      <x:c r="O14" s="11" t="str">
        <x:v>P1</x:v>
      </x:c>
      <x:c r="P14" s="17" t="str">
        <x:v>Готово/черновик</x:v>
      </x:c>
      <x:c r="Q14" s="14" t="str">
        <x:v>Проверить цены, модели и добавить реальные фото, если есть</x:v>
      </x:c>
    </x:row>
    <x:row r="15">
      <x:c r="A15" s="14" t="n">
        <x:v>14</x:v>
      </x:c>
      <x:c r="B15" s="14" t="str">
        <x:v>Бренды</x:v>
      </x:c>
      <x:c r="C15" s="14" t="str">
        <x:v>Бренд</x:v>
      </x:c>
      <x:c r="D15" s="14" t="str">
        <x:v>remont-elektrosamokativ-ninebot-kharkiv</x:v>
      </x:c>
      <x:c r="E15" s="14" t="str">
        <x:v>Ремонт електросамокатів Ninebot у Харкові</x:v>
      </x:c>
      <x:c r="F15" s="14" t="e">
        <x:f>HYPERLINK("file:///C:/Users/User/OneDrive/Рабочий стол/inservic-prototype/site/transport/remont-elektrosamokativ-ninebot-kharkiv.html","HTML")</x:f>
      </x:c>
      <x:c r="G15" s="14" t="str">
        <x:v>https://inservic.com.ua/remont-elektrosamokativ-ninebot-kharkiv/</x:v>
      </x:c>
      <x:c r="H15" s="14" t="e">
        <x:f>HYPERLINK("file:///C:/Users/User/OneDrive/Рабочий стол/inservic-prototype/docs/handoff/ua-seo-text-remont-elektrosamokativ-ninebot-kharkiv.html","Текст")</x:f>
      </x:c>
      <x:c r="I15" s="14" t="e">
        <x:f>HYPERLINK("file:///C:/Users/User/OneDrive/Рабочий стол/inservic-prototype/docs/strategy/semantic-core-remont-elektrosamokativ-ninebot-kharkiv.html","Семантика")</x:f>
      </x:c>
      <x:c r="J15" s="14" t="e">
        <x:f>HYPERLINK("file:///C:/Users/User/OneDrive/Рабочий стол/inservic-prototype/docs/strategy/seo-text-plan-remont-elektrosamokativ-ninebot-kharkiv.html","План")</x:f>
      </x:c>
      <x:c r="K15" s="14" t="e">
        <x:f>HYPERLINK("file:///C:/Users/User/OneDrive/Рабочий стол/inservic-prototype/docs/handoff/remont-elektrosamokativ-ninebot-kharkiv-handoff.html","Handoff")</x:f>
      </x:c>
      <x:c r="L15" s="14" t="str">
        <x:v>Ремонт електросамокатів Ninebot у Харкові — InService</x:v>
      </x:c>
      <x:c r="M15" s="14" t="str">
        <x:v>Ремонт електросамокатів Ninebot у Харкові: ES2, ES4, Max G30, F-серія. Діагностика батареї, BMS, контролера, дисплея, зарядки, мотор-колеса. InService, вул. Дерев</x:v>
      </x:c>
      <x:c r="N15" s="14" t="str">
        <x:v>Бренд: Ninebot/Segway, ES2/ES4/Max G30</x:v>
      </x:c>
      <x:c r="O15" s="11" t="str">
        <x:v>P1</x:v>
      </x:c>
      <x:c r="P15" s="17" t="str">
        <x:v>Готово/черновик</x:v>
      </x:c>
      <x:c r="Q15" s="14" t="str">
        <x:v>Проверить цены, модели и добавить реальные фото, если есть</x:v>
      </x:c>
    </x:row>
    <x:row r="16">
      <x:c r="A16" s="14" t="n">
        <x:v>15</x:v>
      </x:c>
      <x:c r="B16" s="14" t="str">
        <x:v>Бренды</x:v>
      </x:c>
      <x:c r="C16" s="14" t="str">
        <x:v>Бренд</x:v>
      </x:c>
      <x:c r="D16" s="14" t="str">
        <x:v>remont-elektrosamokativ-xiaomi-kharkiv</x:v>
      </x:c>
      <x:c r="E16" s="14" t="str">
        <x:v>Ремонт електросамокатів Xiaomi у Харкові</x:v>
      </x:c>
      <x:c r="F16" s="14" t="e">
        <x:f>HYPERLINK("file:///C:/Users/User/OneDrive/Рабочий стол/inservic-prototype/site/transport/remont-elektrosamokativ-xiaomi-kharkiv.html","HTML")</x:f>
      </x:c>
      <x:c r="G16" s="14" t="str">
        <x:v>https://inservic.com.ua/remont-elektrosamokativ-xiaomi-kharkiv/</x:v>
      </x:c>
      <x:c r="H16" s="14" t="e">
        <x:f>HYPERLINK("file:///C:/Users/User/OneDrive/Рабочий стол/inservic-prototype/docs/handoff/ua-seo-text-remont-elektrosamokativ-xiaomi-kharkiv.html","Текст")</x:f>
      </x:c>
      <x:c r="I16" s="14" t="e">
        <x:f>HYPERLINK("file:///C:/Users/User/OneDrive/Рабочий стол/inservic-prototype/docs/strategy/semantic-core-remont-elektrosamokativ-xiaomi-kharkiv.html","Семантика")</x:f>
      </x:c>
      <x:c r="J16" s="14" t="e">
        <x:f>HYPERLINK("file:///C:/Users/User/OneDrive/Рабочий стол/inservic-prototype/docs/strategy/seo-text-plan-remont-elektrosamokativ-xiaomi-kharkiv.html","План")</x:f>
      </x:c>
      <x:c r="K16" s="14" t="e">
        <x:f>HYPERLINK("file:///C:/Users/User/OneDrive/Рабочий стол/inservic-prototype/docs/handoff/remont-elektrosamokativ-xiaomi-kharkiv-handoff.html","Handoff")</x:f>
      </x:c>
      <x:c r="L16" s="14" t="str">
        <x:v>Ремонт електросамокатів Xiaomi у Харкові — InService</x:v>
      </x:c>
      <x:c r="M16" s="14" t="str">
        <x:v>Ремонт електросамокатів Xiaomi у Харкові: M365, 1S, Essential, Pro, Pro 2. Діагностика батареї, BMS, контролера, дисплея, зарядки, мотор-колеса. InService, вул. Дерев</x:v>
      </x:c>
      <x:c r="N16" s="14" t="str">
        <x:v>Бренд: Xiaomi, M365/1S/Essential/Pro</x:v>
      </x:c>
      <x:c r="O16" s="11" t="str">
        <x:v>P1</x:v>
      </x:c>
      <x:c r="P16" s="17" t="str">
        <x:v>Готово/черновик</x:v>
      </x:c>
      <x:c r="Q16" s="14" t="str">
        <x:v>Проверить цены, модели и добавить реальные фото, если есть</x:v>
      </x:c>
    </x:row>
    <x:row r="17">
      <x:c r="A17" s="14" t="n">
        <x:v>16</x:v>
      </x:c>
      <x:c r="B17" s="14" t="str">
        <x:v>Бренды</x:v>
      </x:c>
      <x:c r="C17" s="14" t="str">
        <x:v>Бренд</x:v>
      </x:c>
      <x:c r="D17" s="14" t="str">
        <x:v>remont-elektrotransportu-giant-kharkiv</x:v>
      </x:c>
      <x:c r="E17" s="14" t="str">
        <x:v>Ремонт електротранспорту Giant у Харкові</x:v>
      </x:c>
      <x:c r="F17" s="14" t="e">
        <x:f>HYPERLINK("file:///C:/Users/User/OneDrive/Рабочий стол/inservic-prototype/site/transport/remont-elektrotransportu-giant-kharkiv.html","HTML")</x:f>
      </x:c>
      <x:c r="G17" s="14" t="str">
        <x:v>https://inservic.com.ua/remont-elektrotransportu-giant-kharkiv/</x:v>
      </x:c>
      <x:c r="H17" s="14" t="e">
        <x:f>HYPERLINK("file:///C:/Users/User/OneDrive/Рабочий стол/inservic-prototype/docs/handoff/ua-seo-text-remont-elektrotransportu-giant-kharkiv.html","Текст")</x:f>
      </x:c>
      <x:c r="I17" s="14" t="e">
        <x:f>HYPERLINK("file:///C:/Users/User/OneDrive/Рабочий стол/inservic-prototype/docs/strategy/semantic-core-remont-elektrotransportu-giant-kharkiv.html","Семантика")</x:f>
      </x:c>
      <x:c r="J17" s="14" t="e">
        <x:f>HYPERLINK("file:///C:/Users/User/OneDrive/Рабочий стол/inservic-prototype/docs/strategy/seo-text-plan-remont-elektrotransportu-giant-kharkiv.html","План")</x:f>
      </x:c>
      <x:c r="K17" s="14" t="e">
        <x:f>HYPERLINK("file:///C:/Users/User/OneDrive/Рабочий стол/inservic-prototype/docs/handoff/remont-elektrotransportu-giant-kharkiv-handoff.html","Handoff")</x:f>
      </x:c>
      <x:c r="L17" s="14" t="str">
        <x:v>Ремонт електротранспорту Giant у Харкові — InService</x:v>
      </x:c>
      <x:c r="M17" s="14" t="str">
        <x:v>Ремонт електротранспорту Giant у Харкові: діагностика батареї, BMS, зарядки, дисплея, контролера, мотора, датчиків, проводки та наслідків води.</x:v>
      </x:c>
      <x:c r="N17" s="14" t="str">
        <x:v>Бренд/e-bike: Giant, електротранспорт</x:v>
      </x:c>
      <x:c r="O17" s="11" t="str">
        <x:v>P2</x:v>
      </x:c>
      <x:c r="P17" s="17" t="str">
        <x:v>Готово/черновик</x:v>
      </x:c>
      <x:c r="Q17" s="14" t="str">
        <x:v>Проверить у владельца: реально ли принимают Giant/e-bike и какие детали доступны</x:v>
      </x:c>
    </x:row>
    <x:row r="18">
      <x:c r="A18" s="14" t="n">
        <x:v>17</x:v>
      </x:c>
      <x:c r="B18" s="14" t="str">
        <x:v>Узлы</x:v>
      </x:c>
      <x:c r="C18" s="14" t="str">
        <x:v>Узел / компонент</x:v>
      </x:c>
      <x:c r="D18" s="14" t="str">
        <x:v>remont-kontrolera-elektrosamokata-kharkiv</x:v>
      </x:c>
      <x:c r="E18" s="14" t="str">
        <x:v>Ремонт контролера електросамоката у Харкові</x:v>
      </x:c>
      <x:c r="F18" s="14" t="e">
        <x:f>HYPERLINK("file:///C:/Users/User/OneDrive/Рабочий стол/inservic-prototype/site/transport/remont-kontrolera-elektrosamokata-kharkiv.html","HTML")</x:f>
      </x:c>
      <x:c r="G18" s="14" t="str">
        <x:v>https://inservic.com.ua/remont-kontrolera-elektrosamokata-kharkiv/</x:v>
      </x:c>
      <x:c r="H18" s="14" t="e">
        <x:f>HYPERLINK("file:///C:/Users/User/OneDrive/Рабочий стол/inservic-prototype/docs/handoff/ua-seo-text-remont-kontrolera-elektrosamokata-kharkiv.html","Текст")</x:f>
      </x:c>
      <x:c r="I18" s="14" t="e">
        <x:f>HYPERLINK("file:///C:/Users/User/OneDrive/Рабочий стол/inservic-prototype/docs/strategy/semantic-core-remont-kontrolera-elektrosamokata-kharkiv.html","Семантика")</x:f>
      </x:c>
      <x:c r="J18" s="14" t="e">
        <x:f>HYPERLINK("file:///C:/Users/User/OneDrive/Рабочий стол/inservic-prototype/docs/strategy/seo-text-plan-remont-kontrolera-elektrosamokata-kharkiv.html","План")</x:f>
      </x:c>
      <x:c r="K18" s="14" t="e">
        <x:f>HYPERLINK("file:///C:/Users/User/OneDrive/Рабочий стол/inservic-prototype/docs/handoff/remont-kontrolera-elektrosamokata-kharkiv-handoff.html","Handoff")</x:f>
      </x:c>
      <x:c r="L18" s="14" t="str">
        <x:v>Ремонт контролера електросамоката у Харкові — InService</x:v>
      </x:c>
      <x:c r="M18" s="14" t="str">
        <x:v>Ремонт контролера електросамоката у Харкові: діагностика плати, роз</x:v>
      </x:c>
      <x:c r="N18" s="14" t="str">
        <x:v>Компонент: контроллер</x:v>
      </x:c>
      <x:c r="O18" s="11" t="str">
        <x:v>P1</x:v>
      </x:c>
      <x:c r="P18" s="17" t="str">
        <x:v>Готово/черновик</x:v>
      </x:c>
      <x:c r="Q18" s="14" t="str">
        <x:v>Проверить цены/гарантию и связать внутренними ссылками</x:v>
      </x:c>
    </x:row>
    <x:row r="19">
      <x:c r="A19" s="14" t="n">
        <x:v>18</x:v>
      </x:c>
      <x:c r="B19" s="14" t="str">
        <x:v>Узлы</x:v>
      </x:c>
      <x:c r="C19" s="14" t="str">
        <x:v>Узел / компонент</x:v>
      </x:c>
      <x:c r="D19" s="14" t="str">
        <x:v>remont-motor-kolesa-elektrosamokata-kharkiv</x:v>
      </x:c>
      <x:c r="E19" s="14" t="str">
        <x:v>Ремонт мотор-колеса електросамоката у Харкові</x:v>
      </x:c>
      <x:c r="F19" s="14" t="e">
        <x:f>HYPERLINK("file:///C:/Users/User/OneDrive/Рабочий стол/inservic-prototype/site/transport/remont-motor-kolesa-elektrosamokata-kharkiv.html","HTML")</x:f>
      </x:c>
      <x:c r="G19" s="14" t="str">
        <x:v>https://inservic.com.ua/remont-motor-kolesa-elektrosamokata-kharkiv/</x:v>
      </x:c>
      <x:c r="H19" s="14" t="e">
        <x:f>HYPERLINK("file:///C:/Users/User/OneDrive/Рабочий стол/inservic-prototype/docs/handoff/ua-seo-text-remont-motor-kolesa-elektrosamokata-kharkiv.html","Текст")</x:f>
      </x:c>
      <x:c r="I19" s="14" t="e">
        <x:f>HYPERLINK("file:///C:/Users/User/OneDrive/Рабочий стол/inservic-prototype/docs/strategy/semantic-core-remont-motor-kolesa-elektrosamokata-kharkiv.html","Семантика")</x:f>
      </x:c>
      <x:c r="J19" s="14" t="e">
        <x:f>HYPERLINK("file:///C:/Users/User/OneDrive/Рабочий стол/inservic-prototype/docs/strategy/seo-text-plan-remont-motor-kolesa-elektrosamokata-kharkiv.html","План")</x:f>
      </x:c>
      <x:c r="K19" s="14" t="e">
        <x:f>HYPERLINK("file:///C:/Users/User/OneDrive/Рабочий стол/inservic-prototype/docs/handoff/remont-motor-kolesa-elektrosamokata-kharkiv-handoff.html","Handoff")</x:f>
      </x:c>
      <x:c r="L19" s="14" t="str">
        <x:v>Ремонт мотор-колеса електросамоката у Харкові — InService</x:v>
      </x:c>
      <x:c r="M19" s="14" t="str">
        <x:v>Ремонт мотор-колеса електросамоката у Харкові: діагностика датчиків Холла, підшипників, обмотки, проводки, перегріву, шуму та ривків. InService, вул. Дерев</x:v>
      </x:c>
      <x:c r="N19" s="14" t="str">
        <x:v>Компонент: мотор-колесо</x:v>
      </x:c>
      <x:c r="O19" s="11" t="str">
        <x:v>P1</x:v>
      </x:c>
      <x:c r="P19" s="17" t="str">
        <x:v>Готово/черновик</x:v>
      </x:c>
      <x:c r="Q19" s="14" t="str">
        <x:v>Проверить цены/гарантию и связать внутренними ссылками</x:v>
      </x:c>
    </x:row>
  </x:sheetData>
  <x:pageMargins left="0.7" right="0.7" top="0.75" bottom="0.75" header="0.3" footer="0.3"/>
  <x:tableParts count="1">
    <x:tablePart xmlns:r="http://schemas.openxmlformats.org/officeDocument/2006/relationships" r:id="R3731e0f4d99640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96.2300033569336" hidden="0" customWidth="1"/>
  </x:cols>
  <x:sheetData>
    <x:row r="1">
      <x:c r="A1" s="18" t="str">
        <x:v>Как пользоваться таблицей</x:v>
      </x:c>
      <x:c r="B1"/>
    </x:row>
    <x:row r="2">
      <x:c r="A2" s="19" t="str">
        <x:v>1. Открывать локально</x:v>
      </x:c>
      <x:c r="B2" s="14" t="str">
        <x:v>Клик по ссылкам работает лучше в Excel/локальном файле. В Google Sheets локальные file:/// ссылки могут не открываться из-за ограничений браузера.</x:v>
      </x:c>
    </x:row>
    <x:row r="3">
      <x:c r="A3" s="19" t="str">
        <x:v>2. Для Google Sheets</x:v>
      </x:c>
      <x:c r="B3" s="14" t="str">
        <x:v>Загрузить XLSX в Google Drive и открыть как Google Sheets. Таблица сохранит структуру, фильтры и формулы-ссылки, но локальные пути лучше заменить на ссылки Google Drive, если файлы будут залиты туда.</x:v>
      </x:c>
    </x:row>
    <x:row r="4">
      <x:c r="A4" s="19" t="str">
        <x:v>3. Статусы</x:v>
      </x:c>
      <x:c r="B4" s="14" t="str">
        <x:v>Готово/черновик = есть HTML и/или текст/handoff. Нужна доработка = страница есть, но нет полного комплекта SEO-документов.</x:v>
      </x:c>
    </x:row>
    <x:row r="5">
      <x:c r="A5" s="19" t="str">
        <x:v>4. Как вести проект</x:v>
      </x:c>
      <x:c r="B5" s="14" t="str">
        <x:v>После новой страницы добавлять строку или попросить Codex обновить таблицу. Колонки Title/Description/Кластер/Следующее действие помогают видеть, что именно делаем.</x:v>
      </x:c>
    </x:row>
    <x:row r="6">
      <x:c r="A6" s="19" t="str">
        <x:v>5. Что отдавать подрядчику</x:v>
      </x:c>
      <x:c r="B6" s="14" t="str">
        <x:v>HTML страницы из site/transport, SEO-тексты из docs/handoff, семантику и планы из docs/strategy.</x:v>
      </x:c>
    </x:row>
  </x:sheetData>
  <x:mergeCells>
    <x:mergeCell ref="A1:B1"/>
  </x:mergeCells>
  <x:pageMargins left="0.7" right="0.7" top="0.75" bottom="0.75" header="0.3" footer="0.3"/>
</x:worksheet>
</file>